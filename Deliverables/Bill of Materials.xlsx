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36" documentId="11_0B1D56BE9CDCCE836B02CE7A5FB0D4A9BBFD1C62" xr6:coauthVersionLast="47" xr6:coauthVersionMax="47" xr10:uidLastSave="{AC193C30-5A87-4A2A-A5B6-6FB494A3F84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4" i="1"/>
  <c r="E10" i="1" s="1"/>
</calcChain>
</file>

<file path=xl/sharedStrings.xml><?xml version="1.0" encoding="utf-8"?>
<sst xmlns="http://schemas.openxmlformats.org/spreadsheetml/2006/main" count="39" uniqueCount="23">
  <si>
    <t>Item/Link</t>
  </si>
  <si>
    <t>Vendor</t>
  </si>
  <si>
    <t>Cost</t>
  </si>
  <si>
    <t>Qty.</t>
  </si>
  <si>
    <t>Total</t>
  </si>
  <si>
    <t>Project</t>
  </si>
  <si>
    <t>Rationale</t>
  </si>
  <si>
    <t>Status</t>
  </si>
  <si>
    <t>Purchase Date</t>
  </si>
  <si>
    <t>ABS Filament</t>
  </si>
  <si>
    <t>Amazon</t>
  </si>
  <si>
    <t>SCADA</t>
  </si>
  <si>
    <t>Pi Housing Material</t>
  </si>
  <si>
    <t>ready</t>
  </si>
  <si>
    <t>Raspberry Pi 4 Model B 2GB</t>
  </si>
  <si>
    <t>Main component of project</t>
  </si>
  <si>
    <t>Power Supply</t>
  </si>
  <si>
    <t>Power for the Pi's</t>
  </si>
  <si>
    <t xml:space="preserve">PI-232 RS232 Hat </t>
  </si>
  <si>
    <t>Network Switch</t>
  </si>
  <si>
    <t>Conenction between the Pi's</t>
  </si>
  <si>
    <t>256GB Micro SD Card</t>
  </si>
  <si>
    <t>Storage for the Pi's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</si>
</sst>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44" fontId="0" fillId="0" borderId="0" xfId="1" applyFont="1"/>
    <xf numFmtId="0" fontId="2" fillId="0" borderId="0" xfId="2"/>
    <xf numFmtId="14" fontId="0" fillId="0" borderId="0" xfId="0" applyNumberFormat="1"/>
    <xf numFmtId="0" fontId="4" fillId="0" borderId="0" xfId="0" applyFont="1"/>
    <xf numFmtId="0" fontId="0" fillId="0" borderId="0" xfId="0" applyBorder="1"/>
    <xf numFmtId="44" fontId="0" fillId="0" borderId="0" xfId="0" applyNumberFormat="1" applyBorder="1"/>
    <xf numFmtId="164" fontId="0" fillId="0" borderId="0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11">
    <dxf>
      <numFmt numFmtId="19" formatCode="m/d/yyyy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164" formatCode="&quot;$&quot;#,##0.00"/>
    </dxf>
    <dxf>
      <numFmt numFmtId="164" formatCode="&quot;$&quot;#,##0.0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3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AD576-D31F-41BB-9163-522BB51A994C}" name="Table26" displayName="Table26" ref="A3:I10" totalsRowCount="1">
  <autoFilter ref="A3:I9" xr:uid="{3FBAD576-D31F-41BB-9163-522BB51A994C}"/>
  <sortState xmlns:xlrd2="http://schemas.microsoft.com/office/spreadsheetml/2017/richdata2" ref="A4:I9">
    <sortCondition ref="H4:H9"/>
  </sortState>
  <tableColumns count="9">
    <tableColumn id="1" xr3:uid="{1EED0CA7-4588-46D7-BCCA-EA3486ABC547}" name="Item/Link" totalsRowDxfId="10"/>
    <tableColumn id="5" xr3:uid="{874DB21D-0D45-494C-9D38-A3454FFBC598}" name="Vendor" totalsRowDxfId="9"/>
    <tableColumn id="2" xr3:uid="{21C14E65-1EF7-40B0-BADB-F0B1C2B7E6EC}" name="Cost" totalsRowDxfId="8" dataCellStyle="Currency"/>
    <tableColumn id="3" xr3:uid="{31ACEFC3-CB28-4D3B-9D40-F719ABE66899}" name="Qty." totalsRowDxfId="7"/>
    <tableColumn id="4" xr3:uid="{8335CC40-0824-4624-B38A-3C6BBF57B9F5}" name="Total" totalsRowFunction="custom" dataDxfId="5" totalsRowDxfId="6">
      <calculatedColumnFormula>Table26[[#This Row],[Cost]]*Table26[[#This Row],[Qty.]]</calculatedColumnFormula>
      <totalsRowFormula>SUM(E4:E9)</totalsRowFormula>
    </tableColumn>
    <tableColumn id="10" xr3:uid="{13C15DED-F3C5-48A1-A69C-7465A6663E33}" name="Project" totalsRowDxfId="4"/>
    <tableColumn id="6" xr3:uid="{077B5D59-3C3A-47DC-88F5-8FF59E7FA58D}" name="Rationale" totalsRowDxfId="3"/>
    <tableColumn id="9" xr3:uid="{F14EDFA1-83A8-438F-A9ED-1FD356E12C95}" name="Status" totalsRowDxfId="2"/>
    <tableColumn id="7" xr3:uid="{D580F554-CDB2-449E-9CF2-369744AD5868}" name="Purchase Date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mraza-Compatible-Raspberry-Charger-Rotation/dp/B07VFDYNL4/ref=sr_1_6?crid=1NCZPBYW6O6WZ&amp;dib=eyJ2IjoiMSJ9.XU9UgvEsOYmzreWjJhMA8QayjR3i1Q6KBwYOIkxi0NJ6jT0E3tx9Q-46dPVDZKqexB3HEKzd_h6Imu8OqKxlJlPTxbd_LME9vdnyPND66aBtnSXcpZ47GyjCcqstX4L9u8xOI_AeoRPUAA8PL2EoxDRPSlG3D6cBOh8XwyY9vyFGUlLQxcCW0mwMRevMJpNrVxzJytJ6tbXiPk6WzMR7nkuEbkq9eutcPfTAUHdF4FQ-QRu-kpgypmgfQNaqPERhMUulmroh8oDdpalvtpsBsYuXmpmmKibgBg1UvDJxTgIqo9IVrtnW7fjDhIvHBV5kYSGCQm8qCUPEtMwTkFBtwfBrvMDUayLzsFNGTDVn_mY.TMRY7EdnilZv1qvktcMCEelk7sKxDjL91KgaLny5Jt8&amp;dib_tag=se&amp;keywords=raspberry+pi+4+model+b+power+supply&amp;qid=1743054830&amp;s=electronics&amp;sprefix=rapsberry+pi+4+model+b+power+supply%2Celectronics%2C141&amp;sr=1-6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amazon.com/Raspberry-Pi-Model-2GB/dp/B09TTNPB4J/ref=asc_df_B09TTNPB4J?mcid=2c5ccffa65ba37dbb16096936126bcea&amp;hvocijid=1273159007663920812-B09TTNPB4J-&amp;hvexpln=73&amp;tag=hyprod-20&amp;linkCode=df0&amp;hvadid=721245378154&amp;hvpos=&amp;hvnetw=g&amp;hvrand=1273159007663920812&amp;hvpone=&amp;hvptwo=&amp;hvqmt=&amp;hvdev=c&amp;hvdvcmdl=&amp;hvlocint=&amp;hvlocphy=9029641&amp;hvtargid=pla-2281435179298&amp;psc=1" TargetMode="External"/><Relationship Id="rId1" Type="http://schemas.openxmlformats.org/officeDocument/2006/relationships/hyperlink" Target="https://www.amazon.com/OVERTURE-Heat-Resistant-Excellent-Durability-Cardboard/dp/B087LW1YP3/ref=sr_1_1?crid=3KH5U06KLO68X&amp;dib=eyJ2IjoiMSJ9.Z_i0orevuCG2FBYthW4dZZGHvpfLpfZF1RRmKrnH0LDIwRW1sDs5Jbddf6gfvTR1esjmI_oJiCej0NcXE4KR7xhpLb1Z65ImB_6G_TjeM0bAnbTASmfU8mX0g__CtJoW7M0FFsFtTPuMNl5BKTnV92QKQpviT7B1sQSm91jJdBwjtHXl9-4DI5RbZB8iIymW575K0vELG3Kgom0REoF4G6azzkzsI3H8u8JcoL00yaA.YVwzVLhG553ImvknzhD4VsogpEXsiJbP-320ODYRFRo&amp;dib_tag=se&amp;keywords=overture%2Babs%2Bfilament&amp;qid=1765492164&amp;sprefix=Overture%2BABS%2B%2Caps%2C159&amp;sr=8-1&amp;th=1" TargetMode="External"/><Relationship Id="rId6" Type="http://schemas.openxmlformats.org/officeDocument/2006/relationships/hyperlink" Target="https://www.amazon.com/NETGEAR-8-Port-Gigabit-Ethernet-Unmanaged/dp/B07PFYM5MZ/ref=asc_df_B07PFYM5MZ?mcid=c42b0f39fc5d3beb8da81ebefedef947&amp;hvocijid=17947026084724718210-B07PFYM5MZ-&amp;hvexpln=73&amp;tag=hyprod-20&amp;linkCode=df0&amp;hvadid=721245378154&amp;hvpos=&amp;hvnetw=g&amp;hvrand=17947026084724718210&amp;hvpone=&amp;hvptwo=&amp;hvqmt=&amp;hvdev=c&amp;hvdvcmdl=&amp;hvlocint=&amp;hvlocphy=9029641&amp;hvtargid=pla-2281435180058&amp;th=1" TargetMode="External"/><Relationship Id="rId5" Type="http://schemas.openxmlformats.org/officeDocument/2006/relationships/hyperlink" Target="https://www.amazon.com/SanDisk-512GB-microSDXC-Memory-Adapter/dp/B0B7NV73PJ/ref=sr_1_2_sspa?crid=1CDES97LYH9DP&amp;dib=eyJ2IjoiMSJ9.o7Iop41sMIiNwZ_7G7qxQfmdUG_laoCOkwHKeoeqhMwE9tG5gwqPEF0JifKr6P56pcUVwBXor8AUtJk-mCgJOsxjnC4Iw-MpDN9IfoADJCe21rnK6ta4VQ3ULXg_NyC4kDRBg-jqGS9u0yl220Wda3NQfH5auQa8D2Z1flnzENQVoEMrfnsx79rmxL4yWt4UXkjCjJWq_0_n_Ct-mplu0964IAOQoQ9wnepR-UylGbYXfJ0YEzhvMLEPQ4JCnW7MIDAopWSHf1WrgL1McchH6vUC5rKvVcfbXGWYBnXyRCw.LXc6h1HycPtrTqpEzGJm87Ewm541U6wwzpIifyV9rso&amp;dib_tag=se&amp;keywords=Micro%2BSD%2BCard&amp;qid=1743055251&amp;s=electronics&amp;sprefix=micro%2Bsd%2Bcard%2B%2Celectronics%2C148&amp;sr=1-2-spons&amp;sp_csd=d2lkZ2V0TmFtZT1zcF9hdGY&amp;th=1" TargetMode="External"/><Relationship Id="rId4" Type="http://schemas.openxmlformats.org/officeDocument/2006/relationships/hyperlink" Target="https://www.amazon.com/RS232-Expansion-Rapsberry-Compact-Serial/dp/B0C3D3WMWW/ref=sr_1_1_sspa?crid=3E5ZS32VNC4O8&amp;dib=eyJ2IjoiMSJ9.tzHE9mRUADIQ2oAr8ie2Dd4It5tLR3miRbP0Ig0ujMRpj5l1MI-Ty2krRnLoEz7nG9_TEEiZWsFTF6W067qhPKNTpHim5UpUDch9ZDKBzCaWzxaZEA3NDpgePK80_OFGArdzpdPoe9lBaj6Q5uhglNUZX0g-eXHomVjJJ-F8q--qQAbI9k3tRfRLYcW3z-_5QTRKcotA5UQIaEkRD8CNf9gpqI_-0OKaoMfctxp1fBFh2go9JUtcmHK5pta30abj2BKDxmOR3hkNQuw4BPgKjAP7mbxtNWMerMUJiqa7bjE.wk0lqLSmng-bp3MDvTv-bbIWQpKOvoduOovk01LRUwg&amp;dib_tag=se&amp;keywords=PI-232+RS232+Hat&amp;qid=1743054980&amp;s=electronics&amp;sprefix=%2Celectronics%2C235&amp;sr=1-1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19" sqref="E19"/>
    </sheetView>
  </sheetViews>
  <sheetFormatPr defaultRowHeight="15"/>
  <cols>
    <col min="1" max="1" width="23.85546875" customWidth="1"/>
    <col min="5" max="5" width="24" customWidth="1"/>
    <col min="7" max="7" width="34.28515625" customWidth="1"/>
  </cols>
  <sheetData>
    <row r="1" spans="1:9">
      <c r="A1" s="1"/>
      <c r="C1" s="2"/>
    </row>
    <row r="2" spans="1:9">
      <c r="C2" s="2"/>
    </row>
    <row r="3" spans="1:9">
      <c r="A3" t="s">
        <v>0</v>
      </c>
      <c r="B3" t="s">
        <v>1</v>
      </c>
      <c r="C3" s="2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>
      <c r="A4" s="3" t="s">
        <v>9</v>
      </c>
      <c r="B4" t="s">
        <v>10</v>
      </c>
      <c r="C4" s="2">
        <v>17.989999999999998</v>
      </c>
      <c r="D4">
        <v>1</v>
      </c>
      <c r="E4" s="2">
        <f>Table26[[#This Row],[Cost]]*Table26[[#This Row],[Qty.]]</f>
        <v>17.989999999999998</v>
      </c>
      <c r="F4" t="s">
        <v>11</v>
      </c>
      <c r="G4" t="s">
        <v>12</v>
      </c>
      <c r="H4" s="5" t="s">
        <v>13</v>
      </c>
      <c r="I4" s="4"/>
    </row>
    <row r="5" spans="1:9">
      <c r="A5" s="3" t="s">
        <v>14</v>
      </c>
      <c r="B5" t="s">
        <v>10</v>
      </c>
      <c r="C5" s="2">
        <v>63.39</v>
      </c>
      <c r="D5">
        <v>1</v>
      </c>
      <c r="E5" s="2">
        <f>Table26[[#This Row],[Cost]]*Table26[[#This Row],[Qty.]]</f>
        <v>63.39</v>
      </c>
      <c r="F5" t="s">
        <v>11</v>
      </c>
      <c r="G5" t="s">
        <v>15</v>
      </c>
      <c r="H5" s="1" t="s">
        <v>13</v>
      </c>
      <c r="I5" s="4"/>
    </row>
    <row r="6" spans="1:9">
      <c r="A6" s="3" t="s">
        <v>16</v>
      </c>
      <c r="B6" t="s">
        <v>10</v>
      </c>
      <c r="C6" s="2">
        <v>8.99</v>
      </c>
      <c r="D6">
        <v>1</v>
      </c>
      <c r="E6" s="2">
        <f>Table26[[#This Row],[Cost]]*Table26[[#This Row],[Qty.]]</f>
        <v>8.99</v>
      </c>
      <c r="F6" t="s">
        <v>11</v>
      </c>
      <c r="G6" t="s">
        <v>17</v>
      </c>
      <c r="H6" s="1" t="s">
        <v>13</v>
      </c>
      <c r="I6" s="4"/>
    </row>
    <row r="7" spans="1:9">
      <c r="A7" s="3" t="s">
        <v>18</v>
      </c>
      <c r="B7" t="s">
        <v>10</v>
      </c>
      <c r="C7" s="2">
        <v>18.899999999999999</v>
      </c>
      <c r="D7">
        <v>1</v>
      </c>
      <c r="E7" s="2">
        <f>Table26[[#This Row],[Cost]]*Table26[[#This Row],[Qty.]]</f>
        <v>18.899999999999999</v>
      </c>
      <c r="F7" t="s">
        <v>11</v>
      </c>
      <c r="G7" t="s">
        <v>15</v>
      </c>
      <c r="H7" s="1" t="s">
        <v>13</v>
      </c>
      <c r="I7" s="4"/>
    </row>
    <row r="8" spans="1:9">
      <c r="A8" s="3" t="s">
        <v>19</v>
      </c>
      <c r="B8" t="s">
        <v>10</v>
      </c>
      <c r="C8" s="2">
        <v>19.989999999999998</v>
      </c>
      <c r="D8">
        <v>1</v>
      </c>
      <c r="E8" s="2">
        <f>Table26[[#This Row],[Cost]]*Table26[[#This Row],[Qty.]]</f>
        <v>19.989999999999998</v>
      </c>
      <c r="F8" t="s">
        <v>11</v>
      </c>
      <c r="G8" t="s">
        <v>20</v>
      </c>
      <c r="H8" s="1" t="s">
        <v>13</v>
      </c>
      <c r="I8" s="4"/>
    </row>
    <row r="9" spans="1:9">
      <c r="A9" s="3" t="s">
        <v>21</v>
      </c>
      <c r="B9" t="s">
        <v>10</v>
      </c>
      <c r="C9" s="2">
        <v>29.99</v>
      </c>
      <c r="D9">
        <v>1</v>
      </c>
      <c r="E9" s="2">
        <f>Table26[[#This Row],[Cost]]*Table26[[#This Row],[Qty.]]</f>
        <v>29.99</v>
      </c>
      <c r="F9" t="s">
        <v>11</v>
      </c>
      <c r="G9" t="s">
        <v>22</v>
      </c>
      <c r="H9" s="1" t="s">
        <v>13</v>
      </c>
      <c r="I9" s="4"/>
    </row>
    <row r="10" spans="1:9">
      <c r="A10" s="6"/>
      <c r="B10" s="6"/>
      <c r="C10" s="7"/>
      <c r="D10" s="6"/>
      <c r="E10" s="8">
        <f>SUM(E4:E9)</f>
        <v>159.25</v>
      </c>
      <c r="F10" s="6"/>
      <c r="G10" s="6"/>
      <c r="H10" s="6"/>
      <c r="I10" s="6"/>
    </row>
  </sheetData>
  <hyperlinks>
    <hyperlink ref="A4" r:id="rId1" xr:uid="{FC6948E4-2803-4085-9671-D6D1965CE753}"/>
    <hyperlink ref="A5" r:id="rId2" xr:uid="{CA6E3BDA-3865-4E27-9910-C77BFBB01B0E}"/>
    <hyperlink ref="A6" r:id="rId3" xr:uid="{C90D29D2-F6D3-4462-A3CE-21F7D47D6177}"/>
    <hyperlink ref="A7" r:id="rId4" xr:uid="{477B887E-9B79-44DE-BCAA-62709131BBF0}"/>
    <hyperlink ref="A9" r:id="rId5" xr:uid="{B4DFBFE8-3E62-4B3F-928E-C71C590F0244}"/>
    <hyperlink ref="A8" r:id="rId6" xr:uid="{BBCCEFA3-CA87-4464-8A4F-C7425095999C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Fulfer, Kai (fulf2113@vandals.uidaho.edu)</cp:lastModifiedBy>
  <cp:revision/>
  <dcterms:created xsi:type="dcterms:W3CDTF">2025-12-11T22:26:35Z</dcterms:created>
  <dcterms:modified xsi:type="dcterms:W3CDTF">2025-12-11T22:32:28Z</dcterms:modified>
  <cp:category/>
  <cp:contentStatus/>
</cp:coreProperties>
</file>